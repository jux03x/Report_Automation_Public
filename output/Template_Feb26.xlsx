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telekom-my.sharepoint.de/personal/julian_buettner_t-systems_com/Documents/Desktop/Certificates/Python_Projects/-01-Projekt/Report_Automation_Public/output/"/>
    </mc:Choice>
  </mc:AlternateContent>
  <xr:revisionPtr revIDLastSave="1" documentId="11_CE6562AA0C012E47858B43047D6EFC0B91532D0F" xr6:coauthVersionLast="47" xr6:coauthVersionMax="47" xr10:uidLastSave="{29C56553-41A8-4227-9366-7A300998712E}"/>
  <bookViews>
    <workbookView xWindow="-120" yWindow="-120" windowWidth="29040" windowHeight="15720" activeTab="1" xr2:uid="{00000000-000D-0000-FFFF-FFFF00000000}"/>
  </bookViews>
  <sheets>
    <sheet name="Dashboard" sheetId="1" r:id="rId1"/>
    <sheet name="System_Availability" sheetId="2" r:id="rId2"/>
    <sheet name="Count_Siz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3" l="1"/>
  <c r="P9" i="3"/>
  <c r="O9" i="3"/>
  <c r="N9" i="3"/>
  <c r="M9" i="3"/>
  <c r="L9" i="3"/>
  <c r="K9" i="3"/>
  <c r="J9" i="3"/>
  <c r="I9" i="3"/>
  <c r="H9" i="3"/>
  <c r="G9" i="3"/>
  <c r="E20" i="1" s="1"/>
  <c r="F9" i="3"/>
  <c r="E9" i="3"/>
  <c r="C20" i="1" s="1"/>
  <c r="D9" i="3"/>
  <c r="C9" i="3"/>
  <c r="P12" i="2"/>
  <c r="O12" i="2"/>
  <c r="N12" i="2"/>
  <c r="M12" i="2"/>
  <c r="L12" i="2"/>
  <c r="K12" i="2"/>
  <c r="J12" i="2"/>
  <c r="I12" i="2"/>
  <c r="H12" i="2"/>
  <c r="G12" i="2"/>
  <c r="F12" i="2"/>
  <c r="E12" i="2"/>
  <c r="C14" i="1" s="1"/>
  <c r="D12" i="2"/>
  <c r="C12" i="2"/>
  <c r="P8" i="2"/>
  <c r="N13" i="1" s="1"/>
  <c r="O8" i="2"/>
  <c r="M13" i="1" s="1"/>
  <c r="N8" i="2"/>
  <c r="M8" i="2"/>
  <c r="L8" i="2"/>
  <c r="K8" i="2"/>
  <c r="J8" i="2"/>
  <c r="I8" i="2"/>
  <c r="H8" i="2"/>
  <c r="G8" i="2"/>
  <c r="F8" i="2"/>
  <c r="E8" i="2"/>
  <c r="D8" i="2"/>
  <c r="C8" i="2"/>
  <c r="N21" i="1"/>
  <c r="M21" i="1"/>
  <c r="L21" i="1"/>
  <c r="K21" i="1"/>
  <c r="J21" i="1"/>
  <c r="I21" i="1"/>
  <c r="H21" i="1"/>
  <c r="G21" i="1"/>
  <c r="F21" i="1"/>
  <c r="E21" i="1"/>
  <c r="D21" i="1"/>
  <c r="C21" i="1"/>
  <c r="N20" i="1"/>
  <c r="M20" i="1"/>
  <c r="L20" i="1"/>
  <c r="K20" i="1"/>
  <c r="J20" i="1"/>
  <c r="I20" i="1"/>
  <c r="H20" i="1"/>
  <c r="G20" i="1"/>
  <c r="F20" i="1"/>
  <c r="D20" i="1"/>
  <c r="N15" i="1"/>
  <c r="M15" i="1"/>
  <c r="L15" i="1"/>
  <c r="K15" i="1"/>
  <c r="J15" i="1"/>
  <c r="I15" i="1"/>
  <c r="H15" i="1"/>
  <c r="G15" i="1"/>
  <c r="F15" i="1"/>
  <c r="E15" i="1"/>
  <c r="D15" i="1"/>
  <c r="C15" i="1"/>
  <c r="N14" i="1"/>
  <c r="M14" i="1"/>
  <c r="L14" i="1"/>
  <c r="K14" i="1"/>
  <c r="J14" i="1"/>
  <c r="I14" i="1"/>
  <c r="H14" i="1"/>
  <c r="G14" i="1"/>
  <c r="F14" i="1"/>
  <c r="E14" i="1"/>
  <c r="D14" i="1"/>
  <c r="L13" i="1"/>
  <c r="K13" i="1"/>
  <c r="J13" i="1"/>
  <c r="I13" i="1"/>
  <c r="H13" i="1"/>
  <c r="G13" i="1"/>
  <c r="F13" i="1"/>
  <c r="E13" i="1"/>
  <c r="D13" i="1"/>
  <c r="C13" i="1"/>
  <c r="H4" i="1"/>
</calcChain>
</file>

<file path=xl/sharedStrings.xml><?xml version="1.0" encoding="utf-8"?>
<sst xmlns="http://schemas.openxmlformats.org/spreadsheetml/2006/main" count="60" uniqueCount="40">
  <si>
    <t>Report Range:</t>
  </si>
  <si>
    <t>Report Year:</t>
  </si>
  <si>
    <t>From</t>
  </si>
  <si>
    <t>To</t>
  </si>
  <si>
    <t>01.02.2026</t>
  </si>
  <si>
    <t>28.02.2026</t>
  </si>
  <si>
    <t>System availability</t>
  </si>
  <si>
    <t>Year</t>
  </si>
  <si>
    <t>Month</t>
  </si>
  <si>
    <t>Mrz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</si>
  <si>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</si>
  <si>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</si>
  <si>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</si>
  <si>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</si>
  <si>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</si>
  <si>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</si>
  <si>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</si>
  <si>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</si>
  <si>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</si>
  <si>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Jan</t>
  </si>
  <si>
    <t>Feb</t>
  </si>
  <si>
    <t>System 1</t>
  </si>
  <si>
    <t>System 2</t>
  </si>
  <si>
    <t>Acc. time Sys.1</t>
  </si>
  <si>
    <t>#################################################################################</t>
  </si>
  <si>
    <t>Count &amp; Size</t>
  </si>
  <si>
    <t xml:space="preserve">Count </t>
  </si>
  <si>
    <t>Size</t>
  </si>
  <si>
    <t>System Availability</t>
  </si>
  <si>
    <t>Sys1 av. In %</t>
  </si>
  <si>
    <t>Target</t>
  </si>
  <si>
    <t>Downtime Sys 1</t>
  </si>
  <si>
    <t>Sys2 av. In %</t>
  </si>
  <si>
    <t>Downtime Sys 2</t>
  </si>
  <si>
    <t>System access time</t>
  </si>
  <si>
    <t>Sys1</t>
  </si>
  <si>
    <t>document count</t>
  </si>
  <si>
    <t>tenant count</t>
  </si>
  <si>
    <t>sum count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</si>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</sst>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41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4" borderId="4" xfId="0" applyFill="1" applyBorder="1" applyAlignment="1">
      <alignment horizontal="center"/>
    </xf>
    <xf numFmtId="0" fontId="0" fillId="0" borderId="3" xfId="0" applyBorder="1"/>
    <xf numFmtId="9" fontId="0" fillId="0" borderId="3" xfId="2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3" xfId="0" applyFont="1" applyBorder="1"/>
    <xf numFmtId="0" fontId="0" fillId="0" borderId="3" xfId="0" applyBorder="1" applyAlignment="1">
      <alignment horizontal="center"/>
    </xf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3" xfId="0" applyFill="1" applyBorder="1"/>
    <xf numFmtId="0" fontId="0" fillId="0" borderId="8" xfId="0" applyBorder="1"/>
    <xf numFmtId="0" fontId="0" fillId="0" borderId="9" xfId="0" applyBorder="1"/>
    <xf numFmtId="9" fontId="0" fillId="0" borderId="3" xfId="0" applyNumberFormat="1" applyBorder="1"/>
    <xf numFmtId="0" fontId="0" fillId="0" borderId="7" xfId="0" applyBorder="1"/>
    <xf numFmtId="0" fontId="0" fillId="0" borderId="4" xfId="0" applyBorder="1" applyAlignment="1">
      <alignment horizontal="center"/>
    </xf>
    <xf numFmtId="43" fontId="0" fillId="0" borderId="3" xfId="0" applyNumberFormat="1" applyBorder="1"/>
    <xf numFmtId="43" fontId="0" fillId="0" borderId="3" xfId="1" applyFont="1" applyBorder="1"/>
    <xf numFmtId="0" fontId="1" fillId="3" borderId="17" xfId="0" applyFont="1" applyFill="1" applyBorder="1" applyAlignment="1">
      <alignment horizontal="center"/>
    </xf>
    <xf numFmtId="0" fontId="0" fillId="0" borderId="18" xfId="0" applyBorder="1"/>
    <xf numFmtId="0" fontId="1" fillId="0" borderId="16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2" borderId="16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applyBorder="1"/>
    <xf numFmtId="0" fontId="2" fillId="0" borderId="0" xfId="0" applyFont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0" fillId="0" borderId="8" xfId="0" applyBorder="1"/>
    <xf numFmtId="0" fontId="0" fillId="0" borderId="9" xfId="0" applyBorder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N21"/>
  <sheetViews>
    <sheetView topLeftCell="A5" workbookViewId="0">
      <selection activeCell="F26" sqref="F26"/>
    </sheetView>
  </sheetViews>
  <sheetFormatPr baseColWidth="10" defaultColWidth="9.140625" defaultRowHeight="15" x14ac:dyDescent="0.25"/>
  <cols>
    <col min="2" max="2" width="14" bestFit="1" customWidth="1"/>
    <col min="3" max="3" width="10.140625" bestFit="1" customWidth="1"/>
    <col min="7" max="7" width="11.85546875" bestFit="1" customWidth="1"/>
    <col min="8" max="8" width="12.140625" bestFit="1" customWidth="1"/>
  </cols>
  <sheetData>
    <row r="4" spans="2:14" x14ac:dyDescent="0.25">
      <c r="B4" s="36" t="s">
        <v>0</v>
      </c>
      <c r="C4" s="37"/>
      <c r="G4" t="s">
        <v>1</v>
      </c>
      <c r="H4" s="2" t="str">
        <f>TEXT(B6,"[$-409]MMMM JJJJ")</f>
        <v>February 2026</v>
      </c>
    </row>
    <row r="5" spans="2:14" x14ac:dyDescent="0.25">
      <c r="B5" t="s">
        <v>2</v>
      </c>
      <c r="C5" t="s">
        <v>3</v>
      </c>
    </row>
    <row r="6" spans="2:14" x14ac:dyDescent="0.25">
      <c r="B6" s="1" t="s">
        <v>4</v>
      </c>
      <c r="C6" s="1" t="s">
        <v>5</v>
      </c>
    </row>
    <row r="9" spans="2:14" ht="15.75" customHeight="1" thickBot="1" x14ac:dyDescent="0.3"/>
    <row r="10" spans="2:14" ht="15.75" customHeight="1" thickBot="1" x14ac:dyDescent="0.3">
      <c r="B10" s="31" t="s">
        <v>6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30"/>
    </row>
    <row r="11" spans="2:14" ht="15.75" customHeight="1" thickBot="1" x14ac:dyDescent="0.3">
      <c r="B11" s="5" t="s">
        <v>7</v>
      </c>
      <c r="C11" s="32">
        <v>2025</v>
      </c>
      <c r="D11" s="29"/>
      <c r="E11" s="29"/>
      <c r="F11" s="29"/>
      <c r="G11" s="29"/>
      <c r="H11" s="29"/>
      <c r="I11" s="29"/>
      <c r="J11" s="29"/>
      <c r="K11" s="29"/>
      <c r="L11" s="30"/>
      <c r="M11" s="26">
        <v>2026</v>
      </c>
      <c r="N11" s="27"/>
    </row>
    <row r="12" spans="2:14" x14ac:dyDescent="0.25">
      <c r="B12" s="7" t="s">
        <v>8</v>
      </c>
      <c r="C12" s="6" t="s">
        <v>9</v>
      </c>
      <c r="D12" s="6" t="s">
        <v>10</v>
      </c>
      <c r="E12" s="6" t="s">
        <v>11</v>
      </c>
      <c r="F12" s="6" t="s">
        <v>12</v>
      </c>
      <c r="G12" s="6" t="s">
        <v>13</v>
      </c>
      <c r="H12" s="6" t="s">
        <v>14</v>
      </c>
      <c r="I12" s="6" t="s">
        <v>15</v>
      </c>
      <c r="J12" s="6" t="s">
        <v>16</v>
      </c>
      <c r="K12" s="6" t="s">
        <v>17</v>
      </c>
      <c r="L12" s="6" t="s">
        <v>18</v>
      </c>
      <c r="M12" s="6" t="s">
        <v>19</v>
      </c>
      <c r="N12" s="6" t="s">
        <v>20</v>
      </c>
    </row>
    <row r="13" spans="2:14" x14ac:dyDescent="0.25">
      <c r="B13" s="7" t="s">
        <v>21</v>
      </c>
      <c r="C13" s="21">
        <f>System_Availability!E8</f>
        <v>1</v>
      </c>
      <c r="D13" s="21">
        <f>System_Availability!F8</f>
        <v>0.95519713261648742</v>
      </c>
      <c r="E13" s="21">
        <f>System_Availability!G8</f>
        <v>1</v>
      </c>
      <c r="F13" s="21">
        <f>System_Availability!H8</f>
        <v>1</v>
      </c>
      <c r="G13" s="21">
        <f>System_Availability!I8</f>
        <v>1</v>
      </c>
      <c r="H13" s="21">
        <f>System_Availability!J8</f>
        <v>1</v>
      </c>
      <c r="I13" s="21">
        <f>System_Availability!K8</f>
        <v>1</v>
      </c>
      <c r="J13" s="21">
        <f>System_Availability!L8</f>
        <v>1</v>
      </c>
      <c r="K13" s="21">
        <f>System_Availability!M8</f>
        <v>1</v>
      </c>
      <c r="L13" s="21">
        <f>System_Availability!N8</f>
        <v>1</v>
      </c>
      <c r="M13" s="21">
        <f>System_Availability!O8</f>
        <v>1</v>
      </c>
      <c r="N13" s="21">
        <f>System_Availability!P8</f>
        <v>1</v>
      </c>
    </row>
    <row r="14" spans="2:14" x14ac:dyDescent="0.25">
      <c r="B14" s="7" t="s">
        <v>22</v>
      </c>
      <c r="C14" s="21">
        <f>System_Availability!E12</f>
        <v>1</v>
      </c>
      <c r="D14" s="21">
        <f>System_Availability!F12</f>
        <v>1</v>
      </c>
      <c r="E14" s="21">
        <f>System_Availability!G12</f>
        <v>1</v>
      </c>
      <c r="F14" s="21">
        <f>System_Availability!H12</f>
        <v>1</v>
      </c>
      <c r="G14" s="21">
        <f>System_Availability!I12</f>
        <v>1</v>
      </c>
      <c r="H14" s="21">
        <f>System_Availability!J12</f>
        <v>1</v>
      </c>
      <c r="I14" s="21">
        <f>System_Availability!K12</f>
        <v>1</v>
      </c>
      <c r="J14" s="21">
        <f>System_Availability!L12</f>
        <v>1</v>
      </c>
      <c r="K14" s="21">
        <f>System_Availability!M12</f>
        <v>1</v>
      </c>
      <c r="L14" s="21">
        <f>System_Availability!N12</f>
        <v>1</v>
      </c>
      <c r="M14" s="21">
        <f>System_Availability!O12</f>
        <v>1</v>
      </c>
      <c r="N14" s="21">
        <f>System_Availability!P12</f>
        <v>1</v>
      </c>
    </row>
    <row r="15" spans="2:14" x14ac:dyDescent="0.25">
      <c r="B15" s="7" t="s">
        <v>23</v>
      </c>
      <c r="C15" s="24">
        <f>System_Availability!D18</f>
        <v>2</v>
      </c>
      <c r="D15" s="24">
        <f>System_Availability!E18</f>
        <v>7.43</v>
      </c>
      <c r="E15" s="24">
        <f>System_Availability!F18</f>
        <v>0.53</v>
      </c>
      <c r="F15" s="24">
        <f>System_Availability!G18</f>
        <v>0.53</v>
      </c>
      <c r="G15" s="24">
        <f>System_Availability!H18</f>
        <v>0.53</v>
      </c>
      <c r="H15" s="24">
        <f>System_Availability!I18</f>
        <v>0.53</v>
      </c>
      <c r="I15" s="24">
        <f>System_Availability!J18</f>
        <v>0.53</v>
      </c>
      <c r="J15" s="24">
        <f>System_Availability!K18</f>
        <v>0.53</v>
      </c>
      <c r="K15" s="24">
        <f>System_Availability!L18</f>
        <v>0.53</v>
      </c>
      <c r="L15" s="24">
        <f>System_Availability!M18</f>
        <v>0.53</v>
      </c>
      <c r="M15" s="24">
        <f>System_Availability!N18</f>
        <v>0.53</v>
      </c>
      <c r="N15" s="24">
        <f>System_Availability!O18</f>
        <v>0.53</v>
      </c>
    </row>
    <row r="16" spans="2:14" ht="15.75" customHeight="1" thickBot="1" x14ac:dyDescent="0.3">
      <c r="B16" s="34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spans="2:14" ht="15.75" customHeight="1" thickBot="1" x14ac:dyDescent="0.3">
      <c r="B17" s="31" t="s">
        <v>25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30"/>
    </row>
    <row r="18" spans="2:14" ht="15.75" customHeight="1" thickBot="1" x14ac:dyDescent="0.3">
      <c r="B18" s="22" t="s">
        <v>7</v>
      </c>
      <c r="C18" s="28">
        <v>2025</v>
      </c>
      <c r="D18" s="29"/>
      <c r="E18" s="29"/>
      <c r="F18" s="29"/>
      <c r="G18" s="29"/>
      <c r="H18" s="29"/>
      <c r="I18" s="29"/>
      <c r="J18" s="29"/>
      <c r="K18" s="29"/>
      <c r="L18" s="30"/>
      <c r="M18" s="33">
        <v>2026</v>
      </c>
      <c r="N18" s="27"/>
    </row>
    <row r="19" spans="2:14" x14ac:dyDescent="0.25">
      <c r="B19" s="7" t="s">
        <v>8</v>
      </c>
      <c r="C19" s="23" t="s">
        <v>9</v>
      </c>
      <c r="D19" s="23" t="s">
        <v>10</v>
      </c>
      <c r="E19" s="23" t="s">
        <v>11</v>
      </c>
      <c r="F19" s="23" t="s">
        <v>12</v>
      </c>
      <c r="G19" s="23" t="s">
        <v>13</v>
      </c>
      <c r="H19" s="23" t="s">
        <v>14</v>
      </c>
      <c r="I19" s="23" t="s">
        <v>15</v>
      </c>
      <c r="J19" s="23" t="s">
        <v>16</v>
      </c>
      <c r="K19" s="23" t="s">
        <v>17</v>
      </c>
      <c r="L19" s="23" t="s">
        <v>18</v>
      </c>
      <c r="M19" s="14" t="s">
        <v>19</v>
      </c>
      <c r="N19" s="14" t="s">
        <v>20</v>
      </c>
    </row>
    <row r="20" spans="2:14" x14ac:dyDescent="0.25">
      <c r="B20" s="7" t="s">
        <v>26</v>
      </c>
      <c r="C20" s="7">
        <f>Count_Size!E9</f>
        <v>83</v>
      </c>
      <c r="D20" s="7">
        <f>Count_Size!F9</f>
        <v>164</v>
      </c>
      <c r="E20" s="7">
        <f>Count_Size!G9</f>
        <v>178</v>
      </c>
      <c r="F20" s="7">
        <f>Count_Size!H9</f>
        <v>317</v>
      </c>
      <c r="G20" s="7">
        <f>Count_Size!I9</f>
        <v>559</v>
      </c>
      <c r="H20" s="7">
        <f>Count_Size!J9</f>
        <v>1042</v>
      </c>
      <c r="I20" s="7">
        <f>Count_Size!K9</f>
        <v>1475</v>
      </c>
      <c r="J20" s="7">
        <f>Count_Size!L9</f>
        <v>1771</v>
      </c>
      <c r="K20" s="7">
        <f>Count_Size!M9</f>
        <v>1908</v>
      </c>
      <c r="L20" s="7">
        <f>Count_Size!N9</f>
        <v>1974</v>
      </c>
      <c r="M20" s="7">
        <f>Count_Size!O9</f>
        <v>2021</v>
      </c>
      <c r="N20" s="7">
        <f>Count_Size!P9</f>
        <v>2021</v>
      </c>
    </row>
    <row r="21" spans="2:14" x14ac:dyDescent="0.25">
      <c r="B21" s="7" t="s">
        <v>27</v>
      </c>
      <c r="C21" s="7">
        <f>Count_Size!E11</f>
        <v>20</v>
      </c>
      <c r="D21" s="7">
        <f>Count_Size!F11</f>
        <v>50</v>
      </c>
      <c r="E21" s="7">
        <f>Count_Size!G11</f>
        <v>52.5</v>
      </c>
      <c r="F21" s="7">
        <f>Count_Size!H11</f>
        <v>102.3</v>
      </c>
      <c r="G21" s="7">
        <f>Count_Size!I11</f>
        <v>214.3</v>
      </c>
      <c r="H21" s="7">
        <f>Count_Size!J11</f>
        <v>450.32</v>
      </c>
      <c r="I21" s="7">
        <f>Count_Size!K11</f>
        <v>602.41</v>
      </c>
      <c r="J21" s="7">
        <f>Count_Size!L11</f>
        <v>1406.35</v>
      </c>
      <c r="K21" s="7">
        <f>Count_Size!M11</f>
        <v>1602.54</v>
      </c>
      <c r="L21" s="7">
        <f>Count_Size!N11</f>
        <v>1725.36</v>
      </c>
      <c r="M21" s="7">
        <f>Count_Size!O11</f>
        <v>2014.65</v>
      </c>
      <c r="N21" s="7">
        <f>Count_Size!P11</f>
        <v>2155</v>
      </c>
    </row>
  </sheetData>
  <mergeCells count="8">
    <mergeCell ref="B4:C4"/>
    <mergeCell ref="B10:N10"/>
    <mergeCell ref="M11:N11"/>
    <mergeCell ref="C18:L18"/>
    <mergeCell ref="B17:N17"/>
    <mergeCell ref="C11:L11"/>
    <mergeCell ref="M18:N18"/>
    <mergeCell ref="B16:N16"/>
  </mergeCells>
  <conditionalFormatting sqref="C13:N1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:N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P18"/>
  <sheetViews>
    <sheetView tabSelected="1" workbookViewId="0">
      <selection activeCell="Q11" sqref="Q11"/>
    </sheetView>
  </sheetViews>
  <sheetFormatPr baseColWidth="10" defaultRowHeight="15" x14ac:dyDescent="0.25"/>
  <cols>
    <col min="2" max="2" width="18" bestFit="1" customWidth="1"/>
  </cols>
  <sheetData>
    <row r="3" spans="2:16" x14ac:dyDescent="0.25">
      <c r="B3" s="2" t="s">
        <v>28</v>
      </c>
    </row>
    <row r="6" spans="2:16" x14ac:dyDescent="0.25">
      <c r="B6" s="22" t="s">
        <v>7</v>
      </c>
      <c r="C6" s="38">
        <v>2025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40"/>
      <c r="O6" s="38">
        <v>2026</v>
      </c>
      <c r="P6" s="40"/>
    </row>
    <row r="7" spans="2:16" x14ac:dyDescent="0.25">
      <c r="B7" s="7" t="s">
        <v>8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3">
        <v>12</v>
      </c>
      <c r="O7" s="7">
        <v>1</v>
      </c>
      <c r="P7" s="7">
        <v>2</v>
      </c>
    </row>
    <row r="8" spans="2:16" x14ac:dyDescent="0.25">
      <c r="B8" s="7" t="s">
        <v>29</v>
      </c>
      <c r="C8" s="8">
        <f t="shared" ref="C8:P8" si="0">(C9-C10)/C9</f>
        <v>0.97043010752688175</v>
      </c>
      <c r="D8" s="8">
        <f t="shared" si="0"/>
        <v>1</v>
      </c>
      <c r="E8" s="8">
        <f t="shared" si="0"/>
        <v>1</v>
      </c>
      <c r="F8" s="8">
        <f t="shared" si="0"/>
        <v>0.95519713261648742</v>
      </c>
      <c r="G8" s="8">
        <f t="shared" si="0"/>
        <v>1</v>
      </c>
      <c r="H8" s="8">
        <f t="shared" si="0"/>
        <v>1</v>
      </c>
      <c r="I8" s="8">
        <f t="shared" si="0"/>
        <v>1</v>
      </c>
      <c r="J8" s="8">
        <f t="shared" si="0"/>
        <v>1</v>
      </c>
      <c r="K8" s="8">
        <f t="shared" si="0"/>
        <v>1</v>
      </c>
      <c r="L8" s="8">
        <f t="shared" si="0"/>
        <v>1</v>
      </c>
      <c r="M8" s="8">
        <f t="shared" si="0"/>
        <v>1</v>
      </c>
      <c r="N8" s="8">
        <f t="shared" si="0"/>
        <v>1</v>
      </c>
      <c r="O8" s="8">
        <f t="shared" si="0"/>
        <v>1</v>
      </c>
      <c r="P8" s="8">
        <f t="shared" si="0"/>
        <v>1</v>
      </c>
    </row>
    <row r="9" spans="2:16" x14ac:dyDescent="0.25">
      <c r="B9" s="7" t="s">
        <v>30</v>
      </c>
      <c r="C9" s="7">
        <v>44640</v>
      </c>
      <c r="D9" s="7">
        <v>44640</v>
      </c>
      <c r="E9" s="7">
        <v>44640</v>
      </c>
      <c r="F9" s="7">
        <v>44640</v>
      </c>
      <c r="G9" s="7">
        <v>44640</v>
      </c>
      <c r="H9" s="7">
        <v>44640</v>
      </c>
      <c r="I9" s="7">
        <v>44640</v>
      </c>
      <c r="J9" s="7">
        <v>44640</v>
      </c>
      <c r="K9" s="7">
        <v>44640</v>
      </c>
      <c r="L9" s="7">
        <v>44640</v>
      </c>
      <c r="M9" s="7">
        <v>44640</v>
      </c>
      <c r="N9" s="7">
        <v>44640</v>
      </c>
      <c r="O9" s="7">
        <v>44640</v>
      </c>
      <c r="P9" s="7">
        <v>44640</v>
      </c>
    </row>
    <row r="10" spans="2:16" x14ac:dyDescent="0.25">
      <c r="B10" s="7" t="s">
        <v>31</v>
      </c>
      <c r="C10" s="7">
        <v>1320</v>
      </c>
      <c r="D10" s="7">
        <v>0</v>
      </c>
      <c r="E10" s="7">
        <v>0</v>
      </c>
      <c r="F10" s="7">
        <v>2000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2:16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2:16" x14ac:dyDescent="0.25">
      <c r="B12" s="7" t="s">
        <v>32</v>
      </c>
      <c r="C12" s="8">
        <f t="shared" ref="C12:O12" si="1">(C13-C14)/C13</f>
        <v>1</v>
      </c>
      <c r="D12" s="8">
        <f t="shared" si="1"/>
        <v>1</v>
      </c>
      <c r="E12" s="8">
        <f t="shared" si="1"/>
        <v>1</v>
      </c>
      <c r="F12" s="8">
        <f t="shared" si="1"/>
        <v>1</v>
      </c>
      <c r="G12" s="8">
        <f t="shared" si="1"/>
        <v>1</v>
      </c>
      <c r="H12" s="8">
        <f t="shared" si="1"/>
        <v>1</v>
      </c>
      <c r="I12" s="8">
        <f t="shared" si="1"/>
        <v>1</v>
      </c>
      <c r="J12" s="8">
        <f t="shared" si="1"/>
        <v>1</v>
      </c>
      <c r="K12" s="8">
        <f t="shared" si="1"/>
        <v>1</v>
      </c>
      <c r="L12" s="8">
        <f t="shared" si="1"/>
        <v>1</v>
      </c>
      <c r="M12" s="8">
        <f t="shared" si="1"/>
        <v>1</v>
      </c>
      <c r="N12" s="8">
        <f t="shared" si="1"/>
        <v>1</v>
      </c>
      <c r="O12" s="8">
        <f t="shared" si="1"/>
        <v>1</v>
      </c>
      <c r="P12" s="8">
        <f>(O13-O14)/O13</f>
        <v>1</v>
      </c>
    </row>
    <row r="13" spans="2:16" x14ac:dyDescent="0.25">
      <c r="B13" s="7" t="s">
        <v>30</v>
      </c>
      <c r="C13" s="7">
        <v>44640</v>
      </c>
      <c r="D13" s="7">
        <v>44640</v>
      </c>
      <c r="E13" s="7">
        <v>44640</v>
      </c>
      <c r="F13" s="7">
        <v>44640</v>
      </c>
      <c r="G13" s="7">
        <v>44640</v>
      </c>
      <c r="H13" s="7">
        <v>44640</v>
      </c>
      <c r="I13" s="7">
        <v>44640</v>
      </c>
      <c r="J13" s="7">
        <v>44640</v>
      </c>
      <c r="K13" s="7">
        <v>44640</v>
      </c>
      <c r="L13" s="7">
        <v>44640</v>
      </c>
      <c r="M13" s="7">
        <v>44640</v>
      </c>
      <c r="N13" s="7">
        <v>44640</v>
      </c>
      <c r="O13" s="7">
        <v>44640</v>
      </c>
      <c r="P13" s="7">
        <v>44640</v>
      </c>
    </row>
    <row r="14" spans="2:16" x14ac:dyDescent="0.25">
      <c r="B14" s="7" t="s">
        <v>33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</row>
    <row r="15" spans="2:16" x14ac:dyDescent="0.25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11"/>
    </row>
    <row r="16" spans="2:16" x14ac:dyDescent="0.25">
      <c r="B16" s="5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4"/>
      <c r="P16" s="4"/>
    </row>
    <row r="17" spans="2:16" x14ac:dyDescent="0.25">
      <c r="B17" s="13" t="s">
        <v>34</v>
      </c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  <c r="P17" s="17"/>
    </row>
    <row r="18" spans="2:16" x14ac:dyDescent="0.25">
      <c r="B18" s="7" t="s">
        <v>35</v>
      </c>
      <c r="C18" s="25">
        <v>1.5</v>
      </c>
      <c r="D18" s="25">
        <v>2</v>
      </c>
      <c r="E18" s="25">
        <v>7.43</v>
      </c>
      <c r="F18" s="25">
        <v>0.53</v>
      </c>
      <c r="G18" s="25">
        <v>0.53</v>
      </c>
      <c r="H18" s="25">
        <v>0.53</v>
      </c>
      <c r="I18" s="25">
        <v>0.53</v>
      </c>
      <c r="J18" s="25">
        <v>0.53</v>
      </c>
      <c r="K18" s="25">
        <v>0.53</v>
      </c>
      <c r="L18" s="25">
        <v>0.53</v>
      </c>
      <c r="M18" s="25">
        <v>0.53</v>
      </c>
      <c r="N18" s="25">
        <v>0.53</v>
      </c>
      <c r="O18" s="25">
        <v>0.53</v>
      </c>
      <c r="P18" s="25">
        <v>0.53</v>
      </c>
    </row>
  </sheetData>
  <mergeCells count="2">
    <mergeCell ref="C6:N6"/>
    <mergeCell ref="O6:P6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P11"/>
  <sheetViews>
    <sheetView workbookViewId="0">
      <selection activeCell="O30" sqref="O30"/>
    </sheetView>
  </sheetViews>
  <sheetFormatPr baseColWidth="10" defaultRowHeight="15" x14ac:dyDescent="0.25"/>
  <cols>
    <col min="2" max="2" width="15.42578125" bestFit="1" customWidth="1"/>
  </cols>
  <sheetData>
    <row r="3" spans="2:16" x14ac:dyDescent="0.25">
      <c r="B3" s="2" t="s">
        <v>25</v>
      </c>
    </row>
    <row r="5" spans="2:16" x14ac:dyDescent="0.25">
      <c r="B5" s="18" t="s">
        <v>7</v>
      </c>
      <c r="C5" s="38">
        <v>2025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40"/>
      <c r="O5" s="38">
        <v>2026</v>
      </c>
      <c r="P5" s="40"/>
    </row>
    <row r="6" spans="2:16" x14ac:dyDescent="0.25">
      <c r="B6" s="18" t="s">
        <v>8</v>
      </c>
      <c r="C6" s="7">
        <v>1</v>
      </c>
      <c r="D6" s="7">
        <v>2</v>
      </c>
      <c r="E6" s="7">
        <v>3</v>
      </c>
      <c r="F6" s="7">
        <v>4</v>
      </c>
      <c r="G6" s="7">
        <v>5</v>
      </c>
      <c r="H6" s="7">
        <v>6</v>
      </c>
      <c r="I6" s="7">
        <v>7</v>
      </c>
      <c r="J6" s="7">
        <v>8</v>
      </c>
      <c r="K6" s="7">
        <v>9</v>
      </c>
      <c r="L6" s="7">
        <v>10</v>
      </c>
      <c r="M6" s="7">
        <v>11</v>
      </c>
      <c r="N6" s="7">
        <v>12</v>
      </c>
      <c r="O6" s="7">
        <v>1</v>
      </c>
      <c r="P6" s="7">
        <v>2</v>
      </c>
    </row>
    <row r="7" spans="2:16" x14ac:dyDescent="0.25">
      <c r="B7" s="7" t="s">
        <v>36</v>
      </c>
      <c r="C7" s="7">
        <v>10</v>
      </c>
      <c r="D7" s="7">
        <v>48</v>
      </c>
      <c r="E7" s="7">
        <v>78</v>
      </c>
      <c r="F7" s="7">
        <v>154</v>
      </c>
      <c r="G7" s="7">
        <v>163</v>
      </c>
      <c r="H7" s="7">
        <v>300</v>
      </c>
      <c r="I7" s="7">
        <v>542</v>
      </c>
      <c r="J7" s="7">
        <v>1025</v>
      </c>
      <c r="K7" s="7">
        <v>1457</v>
      </c>
      <c r="L7" s="7">
        <v>1752</v>
      </c>
      <c r="M7" s="7">
        <v>1888</v>
      </c>
      <c r="N7" s="7">
        <v>1954</v>
      </c>
      <c r="O7" s="7">
        <v>2001</v>
      </c>
      <c r="P7" s="7">
        <v>2132</v>
      </c>
    </row>
    <row r="8" spans="2:16" x14ac:dyDescent="0.25">
      <c r="B8" s="7" t="s">
        <v>37</v>
      </c>
      <c r="C8" s="7">
        <v>1</v>
      </c>
      <c r="D8" s="7">
        <v>3</v>
      </c>
      <c r="E8" s="7">
        <v>5</v>
      </c>
      <c r="F8" s="7">
        <v>10</v>
      </c>
      <c r="G8" s="7">
        <v>15</v>
      </c>
      <c r="H8" s="7">
        <v>17</v>
      </c>
      <c r="I8" s="7">
        <v>17</v>
      </c>
      <c r="J8" s="7">
        <v>17</v>
      </c>
      <c r="K8" s="7">
        <v>18</v>
      </c>
      <c r="L8" s="7">
        <v>19</v>
      </c>
      <c r="M8" s="7">
        <v>20</v>
      </c>
      <c r="N8" s="7">
        <v>20</v>
      </c>
      <c r="O8" s="7">
        <v>20</v>
      </c>
      <c r="P8" s="7">
        <v>23</v>
      </c>
    </row>
    <row r="9" spans="2:16" x14ac:dyDescent="0.25">
      <c r="B9" s="7" t="s">
        <v>38</v>
      </c>
      <c r="C9" s="7">
        <f t="shared" ref="C9:O9" si="0">SUM(C7:C8)</f>
        <v>11</v>
      </c>
      <c r="D9" s="7">
        <f t="shared" si="0"/>
        <v>51</v>
      </c>
      <c r="E9" s="7">
        <f t="shared" si="0"/>
        <v>83</v>
      </c>
      <c r="F9" s="7">
        <f t="shared" si="0"/>
        <v>164</v>
      </c>
      <c r="G9" s="7">
        <f t="shared" si="0"/>
        <v>178</v>
      </c>
      <c r="H9" s="7">
        <f t="shared" si="0"/>
        <v>317</v>
      </c>
      <c r="I9" s="7">
        <f t="shared" si="0"/>
        <v>559</v>
      </c>
      <c r="J9" s="7">
        <f t="shared" si="0"/>
        <v>1042</v>
      </c>
      <c r="K9" s="7">
        <f t="shared" si="0"/>
        <v>1475</v>
      </c>
      <c r="L9" s="7">
        <f t="shared" si="0"/>
        <v>1771</v>
      </c>
      <c r="M9" s="7">
        <f t="shared" si="0"/>
        <v>1908</v>
      </c>
      <c r="N9" s="7">
        <f t="shared" si="0"/>
        <v>1974</v>
      </c>
      <c r="O9" s="7">
        <f t="shared" si="0"/>
        <v>2021</v>
      </c>
      <c r="P9" s="7">
        <f>SUM(O7:O8)</f>
        <v>2021</v>
      </c>
    </row>
    <row r="10" spans="2:16" x14ac:dyDescent="0.25">
      <c r="B10" s="22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/>
      <c r="P10" s="20"/>
    </row>
    <row r="11" spans="2:16" x14ac:dyDescent="0.25">
      <c r="B11" s="7" t="s">
        <v>39</v>
      </c>
      <c r="C11" s="7">
        <v>2</v>
      </c>
      <c r="D11" s="7">
        <v>10</v>
      </c>
      <c r="E11" s="7">
        <v>20</v>
      </c>
      <c r="F11" s="7">
        <v>50</v>
      </c>
      <c r="G11" s="7">
        <v>52.5</v>
      </c>
      <c r="H11" s="7">
        <v>102.3</v>
      </c>
      <c r="I11" s="7">
        <v>214.3</v>
      </c>
      <c r="J11" s="7">
        <v>450.32</v>
      </c>
      <c r="K11" s="7">
        <v>602.41</v>
      </c>
      <c r="L11" s="7">
        <v>1406.35</v>
      </c>
      <c r="M11" s="7">
        <v>1602.54</v>
      </c>
      <c r="N11" s="7">
        <v>1725.36</v>
      </c>
      <c r="O11" s="7">
        <v>2014.65</v>
      </c>
      <c r="P11" s="7">
        <f>SUM(P7:P8)</f>
        <v>2155</v>
      </c>
    </row>
  </sheetData>
  <mergeCells count="2">
    <mergeCell ref="O5:P5"/>
    <mergeCell ref="C5:N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Dashboard</vt:lpstr>
      <vt:lpstr>System_Availability</vt:lpstr>
      <vt:lpstr>Count_Size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Büttner, Julian</dc:creator>
  <cp:lastModifiedBy>Büttner, Julian</cp:lastModifiedBy>
  <dcterms:created xsi:type="dcterms:W3CDTF">2015-06-05T18:19:34Z</dcterms:created>
  <dcterms:modified xsi:type="dcterms:W3CDTF">2026-02-23T08:55:28Z</dcterms:modified>
</cp:coreProperties>
</file>